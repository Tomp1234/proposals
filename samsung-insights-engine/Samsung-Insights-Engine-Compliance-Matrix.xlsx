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iance Matrix" sheetId="1" state="visible" r:id="rId3"/>
    <sheet name="Commercials &amp; Timeline" sheetId="2" state="visible" r:id="rId4"/>
    <sheet name="Response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<sst xmlns="http://schemas.openxmlformats.org/spreadsheetml/2006/main" count="241" uniqueCount="161">
  <si>
    <t xml:space="preserve">Samsung Insights Engine · Requirements Compliance Matrix</t>
  </si>
  <si>
    <t xml:space="preserve">Every requirement from the Insights Engine brief, with compliance status and delivery window. Prepared by Milo. Delivery windows run from contract signature.</t>
  </si>
  <si>
    <t xml:space="preserve">#</t>
  </si>
  <si>
    <t xml:space="preserve">Requirement (from the Insights Engine brief)</t>
  </si>
  <si>
    <t xml:space="preserve">Brief phase</t>
  </si>
  <si>
    <t xml:space="preserve">Compliance</t>
  </si>
  <si>
    <t xml:space="preserve">Delivery window</t>
  </si>
  <si>
    <t xml:space="preserve">How / notes</t>
  </si>
  <si>
    <t xml:space="preserve">Search, synthesise and summarise the Insights Bank (up to 1,000 mixed files: PowerPoint, PDF, Word, Excel)</t>
  </si>
  <si>
    <t xml:space="preserve">Phase 1</t>
  </si>
  <si>
    <t xml:space="preserve">Comply</t>
  </si>
  <si>
    <t xml:space="preserve">Weeks 1-4</t>
  </si>
  <si>
    <t xml:space="preserve">Core retrieval capability, grounded in retrieved sources only</t>
  </si>
  <si>
    <t xml:space="preserve">Answer only from given sources; say "I don't know" where no source exists</t>
  </si>
  <si>
    <t xml:space="preserve">Abstention is designed in, not configured</t>
  </si>
  <si>
    <t xml:space="preserve">Automatic ingestion of new files as they are uploaded to SMC</t>
  </si>
  <si>
    <t xml:space="preserve">Auto-refresh pattern already running in our Kellanova deployment</t>
  </si>
  <si>
    <t xml:space="preserve">Citations with document titles and page numbers; click-back to the source deck</t>
  </si>
  <si>
    <t xml:space="preserve">Every answer, every output format</t>
  </si>
  <si>
    <t xml:space="preserve">Confidence indicators on outputs</t>
  </si>
  <si>
    <t xml:space="preserve">Computed from source agreement, recency and retrieval strength</t>
  </si>
  <si>
    <t xml:space="preserve">Read charts that exist only as flat images inside decks</t>
  </si>
  <si>
    <t xml:space="preserve">Vision-model extraction; validated on Samsung's real decks; pre-signature validation session offered</t>
  </si>
  <si>
    <t xml:space="preserve">User feedback facility on answer quality</t>
  </si>
  <si>
    <t xml:space="preserve">Feeds the tuning loop during the pilot</t>
  </si>
  <si>
    <t xml:space="preserve">Short conversational answers to plain-English questions</t>
  </si>
  <si>
    <t xml:space="preserve">Day 1</t>
  </si>
  <si>
    <t xml:space="preserve">Core product</t>
  </si>
  <si>
    <t xml:space="preserve">Curated Word summaries and PowerPoint deck outputs</t>
  </si>
  <si>
    <t xml:space="preserve">Citations on every slide</t>
  </si>
  <si>
    <t xml:space="preserve">Dashboards, replacing or augmenting Qlik views</t>
  </si>
  <si>
    <t xml:space="preserve">Phase 2-3</t>
  </si>
  <si>
    <t xml:space="preserve">Native: the Engine builds dashboards and small applications on your data</t>
  </si>
  <si>
    <t xml:space="preserve">Qlik Sense data integration (shares, market values, brand scores, social metrics, sell-in and sell-out)</t>
  </si>
  <si>
    <t xml:space="preserve">Phase 2</t>
  </si>
  <si>
    <t xml:space="preserve">Weeks 5-8</t>
  </si>
  <si>
    <t xml:space="preserve">Read directly via connector</t>
  </si>
  <si>
    <t xml:space="preserve">API integrations: ACE Briefing Portal, Teams, SharePoint</t>
  </si>
  <si>
    <t xml:space="preserve">Standard platform APIs; headless API covers anything else in the estate</t>
  </si>
  <si>
    <t xml:space="preserve">Keyword-triggered insights inserted into marketing activity briefs</t>
  </si>
  <si>
    <t xml:space="preserve">Optional supporting slides generated alongside</t>
  </si>
  <si>
    <t xml:space="preserve">Able to work with other AI agents</t>
  </si>
  <si>
    <t xml:space="preserve">Comply - committed</t>
  </si>
  <si>
    <t xml:space="preserve">Phase 2 window</t>
  </si>
  <si>
    <t xml:space="preserve">Agent interoperability over MCP, the emerging open standard</t>
  </si>
  <si>
    <t xml:space="preserve">Analytical suite: market share, growth, averages across time windows, significance testing, correlation, regression, written trend commentary</t>
  </si>
  <si>
    <t xml:space="preserve">Phase 3</t>
  </si>
  <si>
    <t xml:space="preserve">Native product; dedicated statistical models, not the LLM. Zero additional development</t>
  </si>
  <si>
    <t xml:space="preserve">Auto-generated KPIs when a keyword is read within the marketing brief</t>
  </si>
  <si>
    <t xml:space="preserve">Month 3</t>
  </si>
  <si>
    <t xml:space="preserve">Layered onto the brief-support pipeline</t>
  </si>
  <si>
    <t xml:space="preserve">Predictive modelling: shifts in attitudes, market dynamics, competitive behaviours</t>
  </si>
  <si>
    <t xml:space="preserve">Phase 4</t>
  </si>
  <si>
    <t xml:space="preserve">Months 3-4</t>
  </si>
  <si>
    <t xml:space="preserve">Time-series models; reproduced a paid agency predictive report at ~95% agreement</t>
  </si>
  <si>
    <t xml:space="preserve">Proactive alerts within automated reports</t>
  </si>
  <si>
    <t xml:space="preserve">Month 4+</t>
  </si>
  <si>
    <t xml:space="preserve">Threshold and anomaly alerts on nominated measures</t>
  </si>
  <si>
    <t xml:space="preserve">Voice querying for hands-free insight retrieval</t>
  </si>
  <si>
    <t xml:space="preserve">Phase 4 window</t>
  </si>
  <si>
    <t xml:space="preserve">Committed roadmap</t>
  </si>
  <si>
    <t xml:space="preserve">Podcast and audio outputs; avatar-presented decks</t>
  </si>
  <si>
    <t xml:space="preserve">SSO; inherit existing Samsung permissions, confidentiality levels, data ownership and user role restrictions</t>
  </si>
  <si>
    <t xml:space="preserve">Cross-phase</t>
  </si>
  <si>
    <t xml:space="preserve">Row-level security on structured data</t>
  </si>
  <si>
    <t xml:space="preserve">Deployed within Samsung's private cloud; no web scraping; no data egress</t>
  </si>
  <si>
    <t xml:space="preserve">No third-party services; no connection to Milo's servers</t>
  </si>
  <si>
    <t xml:space="preserve">Samsung-selected AI models, including internally hosted models (Gauss)</t>
  </si>
  <si>
    <t xml:space="preserve">Model-agnostic deployment; model choice is Samsung's configuration decision</t>
  </si>
  <si>
    <t xml:space="preserve">Technical/product IP and personnel data excluded from scope</t>
  </si>
  <si>
    <t xml:space="preserve">By design</t>
  </si>
  <si>
    <t xml:space="preserve">Architecturally fenced: no connector exists, no such content indexed</t>
  </si>
  <si>
    <t xml:space="preserve">Ingest external data platforms Samsung licenses (Sprinklr, Nielsen, Bloomberg, Meta, footfall and local-market providers)</t>
  </si>
  <si>
    <t xml:space="preserve">As access granted</t>
  </si>
  <si>
    <t xml:space="preserve">Via API, scheduled file transfer or cloud share; the Engine is agnostic to the source system</t>
  </si>
  <si>
    <t xml:space="preserve">Legend: Comply = capability available at deployment within the stated window. Comply - committed = capability contractually committed for delivery inside the brief's own phase window.</t>
  </si>
  <si>
    <t xml:space="preserve">Full proposal, interactive demonstration and technical appendix: hey.milo.ai/samsung-insights-engine</t>
  </si>
  <si>
    <t xml:space="preserve">Commercials &amp; Timeline</t>
  </si>
  <si>
    <t xml:space="preserve">Two-year initial term, billed monthly. Samsung hosts the application in its own private cloud and retains the deployment.</t>
  </si>
  <si>
    <t xml:space="preserve">Item</t>
  </si>
  <si>
    <t xml:space="preserve">Amount</t>
  </si>
  <si>
    <t xml:space="preserve">Basis</t>
  </si>
  <si>
    <t xml:space="preserve">Notes</t>
  </si>
  <si>
    <t xml:space="preserve">Deployment fee</t>
  </si>
  <si>
    <t xml:space="preserve">One-off, at signature</t>
  </si>
  <si>
    <t xml:space="preserve">Covers the four-week installation into Samsung's private cloud, SSO, SMC connection and initial ingestion</t>
  </si>
  <si>
    <t xml:space="preserve">Insights Engine Core</t>
  </si>
  <si>
    <t xml:space="preserve">Per month</t>
  </si>
  <si>
    <t xml:space="preserve">Phases 1-3: document intelligence, integrations, full analytical suite, dashboards. Standard support and updates included</t>
  </si>
  <si>
    <t xml:space="preserve">Insights Engine Complete</t>
  </si>
  <si>
    <t xml:space="preserve">Everything in Core plus Phase 4 as released, agent interoperability (MCP), expanded users, priority support with named contact</t>
  </si>
  <si>
    <t xml:space="preserve">Infrastructure</t>
  </si>
  <si>
    <t xml:space="preserve">Samsung's own cloud spend</t>
  </si>
  <si>
    <t xml:space="preserve">Estimated GBP 1,500-3,000 per month at Phase 1-2 scale, billed by Samsung's cloud provider at Samsung's rates. Estimate; precise sizing sheet provided on day one</t>
  </si>
  <si>
    <t xml:space="preserve">Year-one cost</t>
  </si>
  <si>
    <t xml:space="preserve">Core tier, year one</t>
  </si>
  <si>
    <t xml:space="preserve">Deployment fee + 12 months Core</t>
  </si>
  <si>
    <t xml:space="preserve">Complete tier, year one</t>
  </si>
  <si>
    <t xml:space="preserve">Deployment fee + 12 months Complete</t>
  </si>
  <si>
    <t xml:space="preserve">Timeline (from signature)</t>
  </si>
  <si>
    <t xml:space="preserve">Window</t>
  </si>
  <si>
    <t xml:space="preserve">Milestone</t>
  </si>
  <si>
    <t xml:space="preserve">What is live</t>
  </si>
  <si>
    <t xml:space="preserve">Phase 1 live</t>
  </si>
  <si>
    <t xml:space="preserve">Deployed white-label in Samsung's private cloud. SSO, SMC auto-ingest, cited Q&amp;A, deck and summary outputs. Analytical core live from day one</t>
  </si>
  <si>
    <t xml:space="preserve">Phase 2 live</t>
  </si>
  <si>
    <t xml:space="preserve">Qlik Sense data connected. ACE Briefing Portal, Teams, SharePoint integrated. Keyword-triggered insight into briefs</t>
  </si>
  <si>
    <t xml:space="preserve">Phase 3 validated</t>
  </si>
  <si>
    <t xml:space="preserve">Full analytical suite tuned on Samsung's data. Pilot judged against the brief's own MVP success criteria</t>
  </si>
  <si>
    <t xml:space="preserve">Phase 4 rolling out</t>
  </si>
  <si>
    <t xml:space="preserve">Predictive modelling, proactive alerts, auto-KPIs; voice and audio/avatar layer within the Phase 4 window</t>
  </si>
  <si>
    <t xml:space="preserve">Pilot</t>
  </si>
  <si>
    <t xml:space="preserve">Months 1-3 of the contract at the Core rate, judged against the brief's own MVP success criteria. If it fails its own test, Samsung walks away.</t>
  </si>
  <si>
    <t xml:space="preserve">Software assurance</t>
  </si>
  <si>
    <t xml:space="preserve">Every major Milo capability released during the term is made available to the Samsung deployment, guaranteed in writing.</t>
  </si>
  <si>
    <t xml:space="preserve">Source-code escrow</t>
  </si>
  <si>
    <t xml:space="preserve">Offered in contract: code held by an independent escrow agent, released to Samsung should Milo cease trading or be acquired.</t>
  </si>
  <si>
    <t xml:space="preserve">Continuity</t>
  </si>
  <si>
    <t xml:space="preserve">Samsung retains the deployed application in its own cloud. If the vendor disappeared, the Engine keeps running where it is.</t>
  </si>
  <si>
    <t xml:space="preserve">Future fit</t>
  </si>
  <si>
    <t xml:space="preserve">A subscription, not a capital build: nothing stranded, coexists with or powers any future global platform via the headless API.</t>
  </si>
  <si>
    <t xml:space="preserve">Required Response Items · Coverage</t>
  </si>
  <si>
    <t xml:space="preserve">The brief lists seventeen items a response must include. Each is answered in the proposal; section references below.</t>
  </si>
  <si>
    <t xml:space="preserve">Required item (from the brief)</t>
  </si>
  <si>
    <t xml:space="preserve">Covered</t>
  </si>
  <si>
    <t xml:space="preserve">Where it is answered</t>
  </si>
  <si>
    <t xml:space="preserve">Recommended technical architecture</t>
  </si>
  <si>
    <t xml:space="preserve">Yes</t>
  </si>
  <si>
    <t xml:space="preserve">Appendix A1, A2</t>
  </si>
  <si>
    <t xml:space="preserve">Recommended MVP scope in Phase 1, and phasing and roadmap if different</t>
  </si>
  <si>
    <t xml:space="preserve">Section 03 (compressed roadmap), Section 10 (pilot), Appendix A8</t>
  </si>
  <si>
    <t xml:space="preserve">Data ingestion approach</t>
  </si>
  <si>
    <t xml:space="preserve">Appendix A5</t>
  </si>
  <si>
    <t xml:space="preserve">Approach to unstructured and structured data</t>
  </si>
  <si>
    <t xml:space="preserve">Appendix A5; Section 04 capability table</t>
  </si>
  <si>
    <t xml:space="preserve">Security and permissions model</t>
  </si>
  <si>
    <t xml:space="preserve">Section 07; Appendix A3</t>
  </si>
  <si>
    <t xml:space="preserve">AI model / RAG approach</t>
  </si>
  <si>
    <t xml:space="preserve">Appendix A2, A4</t>
  </si>
  <si>
    <t xml:space="preserve">Approach to citations and confidence scoring</t>
  </si>
  <si>
    <t xml:space="preserve">Appendix A4; live in the interactive demonstration</t>
  </si>
  <si>
    <t xml:space="preserve">Approach to hallucination reduction</t>
  </si>
  <si>
    <t xml:space="preserve">Appendix A4</t>
  </si>
  <si>
    <t xml:space="preserve">Example user experience</t>
  </si>
  <si>
    <t xml:space="preserve">Interactive demonstration; Sections 02 and 06</t>
  </si>
  <si>
    <t xml:space="preserve">Any integration requirements</t>
  </si>
  <si>
    <t xml:space="preserve">Appendix A6; Section 11</t>
  </si>
  <si>
    <t xml:space="preserve">Implementation timeline</t>
  </si>
  <si>
    <t xml:space="preserve">Section 03; Appendix A8 (day level, weeks 1-2)</t>
  </si>
  <si>
    <t xml:space="preserve">Cost estimate by phase</t>
  </si>
  <si>
    <t xml:space="preserve">Section 09; Appendix A9; Commercials tab of this workbook</t>
  </si>
  <si>
    <t xml:space="preserve">Resource requirements from Samsung (BI, Marketing Ops, IT)</t>
  </si>
  <si>
    <t xml:space="preserve">Section 11; Appendix A8</t>
  </si>
  <si>
    <t xml:space="preserve">Risks and dependencies</t>
  </si>
  <si>
    <t xml:space="preserve">Section 12</t>
  </si>
  <si>
    <t xml:space="preserve">Pilot proposal</t>
  </si>
  <si>
    <t xml:space="preserve">Section 10</t>
  </si>
  <si>
    <t xml:space="preserve">Examples of relevant previous work</t>
  </si>
  <si>
    <t xml:space="preserve">Section 08</t>
  </si>
  <si>
    <t xml:space="preserve">Ongoing support model required</t>
  </si>
  <si>
    <t xml:space="preserve">Section 09; Appendix A7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</si>
</sst>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8A0"/>
      <name val="Arial"/>
      <family val="0"/>
      <charset val="1"/>
    </font>
    <font>
      <sz val="9"/>
      <color rgb="FF4A50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E8A5F"/>
      <name val="Arial"/>
      <family val="0"/>
      <charset val="1"/>
    </font>
    <font>
      <b val="true"/>
      <sz val="10"/>
      <color rgb="FF1428A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8A0"/>
        <bgColor rgb="FF003366"/>
      </patternFill>
    </fill>
    <fill>
      <patternFill patternType="solid">
        <fgColor rgb="FFF6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7E0"/>
      </left>
      <right style="thin">
        <color rgb="FFD4D7E0"/>
      </right>
      <top style="thin">
        <color rgb="FFD4D7E0"/>
      </top>
      <bottom style="thin">
        <color rgb="FFD4D7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A5F"/>
      <rgbColor rgb="FFC0C0C0"/>
      <rgbColor rgb="FF808080"/>
      <rgbColor rgb="FF9999FF"/>
      <rgbColor rgb="FF993366"/>
      <rgbColor rgb="FFF6F7FA"/>
      <rgbColor rgb="FFCCFFFF"/>
      <rgbColor rgb="FF660066"/>
      <rgbColor rgb="FFFF8080"/>
      <rgbColor rgb="FF0066CC"/>
      <rgbColor rgb="FFD4D7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064"/>
      <rgbColor rgb="FF969696"/>
      <rgbColor rgb="FF003366"/>
      <rgbColor rgb="FF339966"/>
      <rgbColor rgb="FF003300"/>
      <rgbColor rgb="FF333300"/>
      <rgbColor rgb="FF993300"/>
      <rgbColor rgb="FF993366"/>
      <rgbColor rgb="FF1428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5" t="s">
        <v>8</v>
      </c>
      <c r="C5" s="4" t="s">
        <v>9</v>
      </c>
      <c r="D5" s="6" t="s">
        <v>10</v>
      </c>
      <c r="E5" s="4" t="s">
        <v>11</v>
      </c>
      <c r="F5" s="5" t="s">
        <v>12</v>
      </c>
    </row>
    <row r="6" customFormat="false" ht="23.85" hidden="false" customHeight="false" outlineLevel="0" collapsed="false">
      <c r="A6" s="7" t="n">
        <v>2</v>
      </c>
      <c r="B6" s="8" t="s">
        <v>13</v>
      </c>
      <c r="C6" s="7" t="s">
        <v>9</v>
      </c>
      <c r="D6" s="9" t="s">
        <v>10</v>
      </c>
      <c r="E6" s="7" t="s">
        <v>11</v>
      </c>
      <c r="F6" s="8" t="s">
        <v>14</v>
      </c>
    </row>
    <row r="7" customFormat="false" ht="23.85" hidden="false" customHeight="false" outlineLevel="0" collapsed="false">
      <c r="A7" s="4" t="n">
        <v>3</v>
      </c>
      <c r="B7" s="5" t="s">
        <v>15</v>
      </c>
      <c r="C7" s="4" t="s">
        <v>9</v>
      </c>
      <c r="D7" s="6" t="s">
        <v>10</v>
      </c>
      <c r="E7" s="4" t="s">
        <v>11</v>
      </c>
      <c r="F7" s="5" t="s">
        <v>16</v>
      </c>
    </row>
    <row r="8" customFormat="false" ht="23.85" hidden="false" customHeight="false" outlineLevel="0" collapsed="false">
      <c r="A8" s="7" t="n">
        <v>4</v>
      </c>
      <c r="B8" s="8" t="s">
        <v>17</v>
      </c>
      <c r="C8" s="7" t="s">
        <v>9</v>
      </c>
      <c r="D8" s="9" t="s">
        <v>10</v>
      </c>
      <c r="E8" s="7" t="s">
        <v>11</v>
      </c>
      <c r="F8" s="8" t="s">
        <v>18</v>
      </c>
    </row>
    <row r="9" customFormat="false" ht="23.85" hidden="false" customHeight="false" outlineLevel="0" collapsed="false">
      <c r="A9" s="4" t="n">
        <v>5</v>
      </c>
      <c r="B9" s="5" t="s">
        <v>19</v>
      </c>
      <c r="C9" s="4" t="s">
        <v>9</v>
      </c>
      <c r="D9" s="6" t="s">
        <v>10</v>
      </c>
      <c r="E9" s="4" t="s">
        <v>11</v>
      </c>
      <c r="F9" s="5" t="s">
        <v>20</v>
      </c>
    </row>
    <row r="10" customFormat="false" ht="23.85" hidden="false" customHeight="false" outlineLevel="0" collapsed="false">
      <c r="A10" s="7" t="n">
        <v>6</v>
      </c>
      <c r="B10" s="8" t="s">
        <v>21</v>
      </c>
      <c r="C10" s="7" t="s">
        <v>9</v>
      </c>
      <c r="D10" s="9" t="s">
        <v>10</v>
      </c>
      <c r="E10" s="7" t="s">
        <v>11</v>
      </c>
      <c r="F10" s="8" t="s">
        <v>22</v>
      </c>
    </row>
    <row r="11" customFormat="false" ht="15" hidden="false" customHeight="false" outlineLevel="0" collapsed="false">
      <c r="A11" s="4" t="n">
        <v>7</v>
      </c>
      <c r="B11" s="5" t="s">
        <v>23</v>
      </c>
      <c r="C11" s="4" t="s">
        <v>9</v>
      </c>
      <c r="D11" s="6" t="s">
        <v>10</v>
      </c>
      <c r="E11" s="4" t="s">
        <v>11</v>
      </c>
      <c r="F11" s="5" t="s">
        <v>24</v>
      </c>
    </row>
    <row r="12" customFormat="false" ht="15" hidden="false" customHeight="false" outlineLevel="0" collapsed="false">
      <c r="A12" s="7" t="n">
        <v>8</v>
      </c>
      <c r="B12" s="8" t="s">
        <v>25</v>
      </c>
      <c r="C12" s="7" t="s">
        <v>9</v>
      </c>
      <c r="D12" s="9" t="s">
        <v>10</v>
      </c>
      <c r="E12" s="7" t="s">
        <v>26</v>
      </c>
      <c r="F12" s="8" t="s">
        <v>27</v>
      </c>
    </row>
    <row r="13" customFormat="false" ht="15" hidden="false" customHeight="false" outlineLevel="0" collapsed="false">
      <c r="A13" s="4" t="n">
        <v>9</v>
      </c>
      <c r="B13" s="5" t="s">
        <v>28</v>
      </c>
      <c r="C13" s="4" t="s">
        <v>9</v>
      </c>
      <c r="D13" s="6" t="s">
        <v>10</v>
      </c>
      <c r="E13" s="4" t="s">
        <v>11</v>
      </c>
      <c r="F13" s="5" t="s">
        <v>29</v>
      </c>
    </row>
    <row r="14" customFormat="false" ht="23.85" hidden="false" customHeight="false" outlineLevel="0" collapsed="false">
      <c r="A14" s="7" t="n">
        <v>10</v>
      </c>
      <c r="B14" s="8" t="s">
        <v>30</v>
      </c>
      <c r="C14" s="7" t="s">
        <v>31</v>
      </c>
      <c r="D14" s="9" t="s">
        <v>10</v>
      </c>
      <c r="E14" s="7" t="s">
        <v>26</v>
      </c>
      <c r="F14" s="8" t="s">
        <v>32</v>
      </c>
    </row>
    <row r="15" customFormat="false" ht="23.85" hidden="false" customHeight="false" outlineLevel="0" collapsed="false">
      <c r="A15" s="4" t="n">
        <v>11</v>
      </c>
      <c r="B15" s="5" t="s">
        <v>33</v>
      </c>
      <c r="C15" s="4" t="s">
        <v>34</v>
      </c>
      <c r="D15" s="6" t="s">
        <v>10</v>
      </c>
      <c r="E15" s="4" t="s">
        <v>35</v>
      </c>
      <c r="F15" s="5" t="s">
        <v>36</v>
      </c>
    </row>
    <row r="16" customFormat="false" ht="23.85" hidden="false" customHeight="false" outlineLevel="0" collapsed="false">
      <c r="A16" s="7" t="n">
        <v>12</v>
      </c>
      <c r="B16" s="8" t="s">
        <v>37</v>
      </c>
      <c r="C16" s="7" t="s">
        <v>34</v>
      </c>
      <c r="D16" s="9" t="s">
        <v>10</v>
      </c>
      <c r="E16" s="7" t="s">
        <v>35</v>
      </c>
      <c r="F16" s="8" t="s">
        <v>38</v>
      </c>
    </row>
    <row r="17" customFormat="false" ht="15" hidden="false" customHeight="false" outlineLevel="0" collapsed="false">
      <c r="A17" s="4" t="n">
        <v>13</v>
      </c>
      <c r="B17" s="5" t="s">
        <v>39</v>
      </c>
      <c r="C17" s="4" t="s">
        <v>34</v>
      </c>
      <c r="D17" s="6" t="s">
        <v>10</v>
      </c>
      <c r="E17" s="4" t="s">
        <v>35</v>
      </c>
      <c r="F17" s="5" t="s">
        <v>40</v>
      </c>
    </row>
    <row r="18" customFormat="false" ht="15" hidden="false" customHeight="false" outlineLevel="0" collapsed="false">
      <c r="A18" s="7" t="n">
        <v>14</v>
      </c>
      <c r="B18" s="8" t="s">
        <v>41</v>
      </c>
      <c r="C18" s="7" t="s">
        <v>34</v>
      </c>
      <c r="D18" s="10" t="s">
        <v>42</v>
      </c>
      <c r="E18" s="7" t="s">
        <v>43</v>
      </c>
      <c r="F18" s="8" t="s">
        <v>44</v>
      </c>
    </row>
    <row r="19" customFormat="false" ht="23.85" hidden="false" customHeight="false" outlineLevel="0" collapsed="false">
      <c r="A19" s="4" t="n">
        <v>15</v>
      </c>
      <c r="B19" s="5" t="s">
        <v>45</v>
      </c>
      <c r="C19" s="4" t="s">
        <v>46</v>
      </c>
      <c r="D19" s="6" t="s">
        <v>10</v>
      </c>
      <c r="E19" s="4" t="s">
        <v>26</v>
      </c>
      <c r="F19" s="5" t="s">
        <v>47</v>
      </c>
    </row>
    <row r="20" customFormat="false" ht="15" hidden="false" customHeight="false" outlineLevel="0" collapsed="false">
      <c r="A20" s="7" t="n">
        <v>16</v>
      </c>
      <c r="B20" s="8" t="s">
        <v>48</v>
      </c>
      <c r="C20" s="7" t="s">
        <v>46</v>
      </c>
      <c r="D20" s="10" t="s">
        <v>42</v>
      </c>
      <c r="E20" s="7" t="s">
        <v>49</v>
      </c>
      <c r="F20" s="8" t="s">
        <v>50</v>
      </c>
    </row>
    <row r="21" customFormat="false" ht="23.85" hidden="false" customHeight="false" outlineLevel="0" collapsed="false">
      <c r="A21" s="4" t="n">
        <v>17</v>
      </c>
      <c r="B21" s="5" t="s">
        <v>51</v>
      </c>
      <c r="C21" s="4" t="s">
        <v>52</v>
      </c>
      <c r="D21" s="6" t="s">
        <v>10</v>
      </c>
      <c r="E21" s="4" t="s">
        <v>53</v>
      </c>
      <c r="F21" s="5" t="s">
        <v>54</v>
      </c>
    </row>
    <row r="22" customFormat="false" ht="15" hidden="false" customHeight="false" outlineLevel="0" collapsed="false">
      <c r="A22" s="7" t="n">
        <v>18</v>
      </c>
      <c r="B22" s="8" t="s">
        <v>55</v>
      </c>
      <c r="C22" s="7" t="s">
        <v>52</v>
      </c>
      <c r="D22" s="10" t="s">
        <v>42</v>
      </c>
      <c r="E22" s="7" t="s">
        <v>56</v>
      </c>
      <c r="F22" s="8" t="s">
        <v>57</v>
      </c>
    </row>
    <row r="23" customFormat="false" ht="15" hidden="false" customHeight="false" outlineLevel="0" collapsed="false">
      <c r="A23" s="4" t="n">
        <v>19</v>
      </c>
      <c r="B23" s="5" t="s">
        <v>58</v>
      </c>
      <c r="C23" s="4" t="s">
        <v>52</v>
      </c>
      <c r="D23" s="11" t="s">
        <v>42</v>
      </c>
      <c r="E23" s="4" t="s">
        <v>59</v>
      </c>
      <c r="F23" s="5" t="s">
        <v>60</v>
      </c>
    </row>
    <row r="24" customFormat="false" ht="15" hidden="false" customHeight="false" outlineLevel="0" collapsed="false">
      <c r="A24" s="7" t="n">
        <v>20</v>
      </c>
      <c r="B24" s="8" t="s">
        <v>61</v>
      </c>
      <c r="C24" s="7" t="s">
        <v>52</v>
      </c>
      <c r="D24" s="10" t="s">
        <v>42</v>
      </c>
      <c r="E24" s="7" t="s">
        <v>59</v>
      </c>
      <c r="F24" s="8" t="s">
        <v>60</v>
      </c>
    </row>
    <row r="25" customFormat="false" ht="23.85" hidden="false" customHeight="false" outlineLevel="0" collapsed="false">
      <c r="A25" s="4" t="n">
        <v>21</v>
      </c>
      <c r="B25" s="5" t="s">
        <v>62</v>
      </c>
      <c r="C25" s="4" t="s">
        <v>63</v>
      </c>
      <c r="D25" s="6" t="s">
        <v>10</v>
      </c>
      <c r="E25" s="4" t="s">
        <v>11</v>
      </c>
      <c r="F25" s="5" t="s">
        <v>64</v>
      </c>
    </row>
    <row r="26" customFormat="false" ht="23.85" hidden="false" customHeight="false" outlineLevel="0" collapsed="false">
      <c r="A26" s="7" t="n">
        <v>22</v>
      </c>
      <c r="B26" s="8" t="s">
        <v>65</v>
      </c>
      <c r="C26" s="7" t="s">
        <v>63</v>
      </c>
      <c r="D26" s="9" t="s">
        <v>10</v>
      </c>
      <c r="E26" s="7" t="s">
        <v>11</v>
      </c>
      <c r="F26" s="8" t="s">
        <v>66</v>
      </c>
    </row>
    <row r="27" customFormat="false" ht="23.85" hidden="false" customHeight="false" outlineLevel="0" collapsed="false">
      <c r="A27" s="4" t="n">
        <v>23</v>
      </c>
      <c r="B27" s="5" t="s">
        <v>67</v>
      </c>
      <c r="C27" s="4" t="s">
        <v>63</v>
      </c>
      <c r="D27" s="6" t="s">
        <v>10</v>
      </c>
      <c r="E27" s="4" t="s">
        <v>11</v>
      </c>
      <c r="F27" s="5" t="s">
        <v>68</v>
      </c>
    </row>
    <row r="28" customFormat="false" ht="23.85" hidden="false" customHeight="false" outlineLevel="0" collapsed="false">
      <c r="A28" s="7" t="n">
        <v>24</v>
      </c>
      <c r="B28" s="8" t="s">
        <v>69</v>
      </c>
      <c r="C28" s="7" t="s">
        <v>63</v>
      </c>
      <c r="D28" s="9" t="s">
        <v>10</v>
      </c>
      <c r="E28" s="7" t="s">
        <v>70</v>
      </c>
      <c r="F28" s="8" t="s">
        <v>71</v>
      </c>
    </row>
    <row r="29" customFormat="false" ht="23.85" hidden="false" customHeight="false" outlineLevel="0" collapsed="false">
      <c r="A29" s="4" t="n">
        <v>25</v>
      </c>
      <c r="B29" s="5" t="s">
        <v>72</v>
      </c>
      <c r="C29" s="4" t="s">
        <v>63</v>
      </c>
      <c r="D29" s="6" t="s">
        <v>10</v>
      </c>
      <c r="E29" s="4" t="s">
        <v>73</v>
      </c>
      <c r="F29" s="5" t="s">
        <v>74</v>
      </c>
    </row>
    <row r="31" customFormat="false" ht="15" hidden="false" customHeight="false" outlineLevel="0" collapsed="false">
      <c r="B31" s="12" t="s">
        <v>75</v>
      </c>
      <c r="C31" s="12"/>
      <c r="D31" s="12"/>
      <c r="E31" s="12"/>
      <c r="F31" s="12"/>
    </row>
    <row r="32" customFormat="false" ht="15" hidden="false" customHeight="false" outlineLevel="0" collapsed="false">
      <c r="B32" s="12" t="s">
        <v>76</v>
      </c>
      <c r="C32" s="12"/>
      <c r="D32" s="12"/>
      <c r="E32" s="12"/>
      <c r="F32" s="12"/>
    </row>
  </sheetData>
  <mergeCells count="2"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3" t="s">
        <v>79</v>
      </c>
      <c r="B4" s="3" t="s">
        <v>80</v>
      </c>
      <c r="C4" s="3" t="s">
        <v>81</v>
      </c>
      <c r="D4" s="3" t="s">
        <v>82</v>
      </c>
    </row>
    <row r="5" customFormat="false" ht="23.85" hidden="false" customHeight="false" outlineLevel="0" collapsed="false">
      <c r="A5" s="13" t="s">
        <v>83</v>
      </c>
      <c r="B5" s="14" t="n">
        <v>10000</v>
      </c>
      <c r="C5" s="4" t="s">
        <v>84</v>
      </c>
      <c r="D5" s="5" t="s">
        <v>85</v>
      </c>
    </row>
    <row r="6" customFormat="false" ht="23.85" hidden="false" customHeight="false" outlineLevel="0" collapsed="false">
      <c r="A6" s="13" t="s">
        <v>86</v>
      </c>
      <c r="B6" s="14" t="n">
        <v>10000</v>
      </c>
      <c r="C6" s="4" t="s">
        <v>87</v>
      </c>
      <c r="D6" s="5" t="s">
        <v>88</v>
      </c>
    </row>
    <row r="7" customFormat="false" ht="23.85" hidden="false" customHeight="false" outlineLevel="0" collapsed="false">
      <c r="A7" s="13" t="s">
        <v>89</v>
      </c>
      <c r="B7" s="14" t="n">
        <v>15000</v>
      </c>
      <c r="C7" s="4" t="s">
        <v>87</v>
      </c>
      <c r="D7" s="5" t="s">
        <v>90</v>
      </c>
    </row>
    <row r="8" customFormat="false" ht="35.05" hidden="false" customHeight="false" outlineLevel="0" collapsed="false">
      <c r="A8" s="13" t="s">
        <v>91</v>
      </c>
      <c r="B8" s="4"/>
      <c r="C8" s="4" t="s">
        <v>92</v>
      </c>
      <c r="D8" s="5" t="s">
        <v>93</v>
      </c>
    </row>
    <row r="10" customFormat="false" ht="15" hidden="false" customHeight="false" outlineLevel="0" collapsed="false">
      <c r="A10" s="15" t="s">
        <v>94</v>
      </c>
    </row>
    <row r="11" customFormat="false" ht="15" hidden="false" customHeight="false" outlineLevel="0" collapsed="false">
      <c r="A11" s="16" t="s">
        <v>95</v>
      </c>
      <c r="B11" s="17" t="n">
        <f aca="false">B5+12*B6</f>
        <v>130000</v>
      </c>
      <c r="C11" s="2" t="s">
        <v>96</v>
      </c>
    </row>
    <row r="12" customFormat="false" ht="15" hidden="false" customHeight="false" outlineLevel="0" collapsed="false">
      <c r="A12" s="16" t="s">
        <v>97</v>
      </c>
      <c r="B12" s="17" t="n">
        <f aca="false">B5+12*B7</f>
        <v>190000</v>
      </c>
      <c r="C12" s="2" t="s">
        <v>98</v>
      </c>
    </row>
    <row r="14" customFormat="false" ht="15" hidden="false" customHeight="false" outlineLevel="0" collapsed="false">
      <c r="A14" s="15" t="s">
        <v>99</v>
      </c>
    </row>
    <row r="15" customFormat="false" ht="15" hidden="false" customHeight="false" outlineLevel="0" collapsed="false">
      <c r="A15" s="3" t="s">
        <v>100</v>
      </c>
      <c r="B15" s="3" t="s">
        <v>101</v>
      </c>
      <c r="C15" s="3" t="s">
        <v>102</v>
      </c>
    </row>
    <row r="16" customFormat="false" ht="46.25" hidden="false" customHeight="false" outlineLevel="0" collapsed="false">
      <c r="A16" s="13" t="s">
        <v>11</v>
      </c>
      <c r="B16" s="5" t="s">
        <v>103</v>
      </c>
      <c r="C16" s="5" t="s">
        <v>104</v>
      </c>
    </row>
    <row r="17" customFormat="false" ht="35.05" hidden="false" customHeight="false" outlineLevel="0" collapsed="false">
      <c r="A17" s="13" t="s">
        <v>35</v>
      </c>
      <c r="B17" s="5" t="s">
        <v>105</v>
      </c>
      <c r="C17" s="5" t="s">
        <v>106</v>
      </c>
    </row>
    <row r="18" customFormat="false" ht="35.05" hidden="false" customHeight="false" outlineLevel="0" collapsed="false">
      <c r="A18" s="13" t="s">
        <v>49</v>
      </c>
      <c r="B18" s="5" t="s">
        <v>107</v>
      </c>
      <c r="C18" s="5" t="s">
        <v>108</v>
      </c>
    </row>
    <row r="19" customFormat="false" ht="35.05" hidden="false" customHeight="false" outlineLevel="0" collapsed="false">
      <c r="A19" s="13" t="s">
        <v>56</v>
      </c>
      <c r="B19" s="5" t="s">
        <v>109</v>
      </c>
      <c r="C19" s="5" t="s">
        <v>110</v>
      </c>
    </row>
    <row r="21" customFormat="false" ht="15" hidden="false" customHeight="true" outlineLevel="0" collapsed="false">
      <c r="A21" s="15" t="s">
        <v>111</v>
      </c>
      <c r="B21" s="18" t="s">
        <v>112</v>
      </c>
      <c r="C21" s="18"/>
      <c r="D21" s="18"/>
    </row>
    <row r="22" customFormat="false" ht="15" hidden="false" customHeight="true" outlineLevel="0" collapsed="false">
      <c r="A22" s="15" t="s">
        <v>113</v>
      </c>
      <c r="B22" s="18" t="s">
        <v>114</v>
      </c>
      <c r="C22" s="18"/>
      <c r="D22" s="18"/>
    </row>
    <row r="23" customFormat="false" ht="15" hidden="false" customHeight="true" outlineLevel="0" collapsed="false">
      <c r="A23" s="15" t="s">
        <v>115</v>
      </c>
      <c r="B23" s="18" t="s">
        <v>116</v>
      </c>
      <c r="C23" s="18"/>
      <c r="D23" s="18"/>
    </row>
    <row r="24" customFormat="false" ht="15" hidden="false" customHeight="true" outlineLevel="0" collapsed="false">
      <c r="A24" s="15" t="s">
        <v>117</v>
      </c>
      <c r="B24" s="18" t="s">
        <v>118</v>
      </c>
      <c r="C24" s="18"/>
      <c r="D24" s="18"/>
    </row>
    <row r="25" customFormat="false" ht="15" hidden="false" customHeight="true" outlineLevel="0" collapsed="false">
      <c r="A25" s="15" t="s">
        <v>119</v>
      </c>
      <c r="B25" s="18" t="s">
        <v>120</v>
      </c>
      <c r="C25" s="18"/>
      <c r="D25" s="18"/>
    </row>
  </sheetData>
  <mergeCells count="5">
    <mergeCell ref="B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3" t="s">
        <v>2</v>
      </c>
      <c r="B4" s="3" t="s">
        <v>123</v>
      </c>
      <c r="C4" s="3" t="s">
        <v>124</v>
      </c>
      <c r="D4" s="3" t="s">
        <v>125</v>
      </c>
    </row>
    <row r="5" customFormat="false" ht="15" hidden="false" customHeight="false" outlineLevel="0" collapsed="false">
      <c r="A5" s="4" t="n">
        <v>1</v>
      </c>
      <c r="B5" s="5" t="s">
        <v>126</v>
      </c>
      <c r="C5" s="6" t="s">
        <v>127</v>
      </c>
      <c r="D5" s="5" t="s">
        <v>128</v>
      </c>
    </row>
    <row r="6" customFormat="false" ht="23.85" hidden="false" customHeight="false" outlineLevel="0" collapsed="false">
      <c r="A6" s="4" t="n">
        <v>2</v>
      </c>
      <c r="B6" s="5" t="s">
        <v>129</v>
      </c>
      <c r="C6" s="6" t="s">
        <v>127</v>
      </c>
      <c r="D6" s="5" t="s">
        <v>130</v>
      </c>
    </row>
    <row r="7" customFormat="false" ht="15" hidden="false" customHeight="false" outlineLevel="0" collapsed="false">
      <c r="A7" s="4" t="n">
        <v>3</v>
      </c>
      <c r="B7" s="5" t="s">
        <v>131</v>
      </c>
      <c r="C7" s="6" t="s">
        <v>127</v>
      </c>
      <c r="D7" s="5" t="s">
        <v>132</v>
      </c>
    </row>
    <row r="8" customFormat="false" ht="15" hidden="false" customHeight="false" outlineLevel="0" collapsed="false">
      <c r="A8" s="4" t="n">
        <v>4</v>
      </c>
      <c r="B8" s="5" t="s">
        <v>133</v>
      </c>
      <c r="C8" s="6" t="s">
        <v>127</v>
      </c>
      <c r="D8" s="5" t="s">
        <v>134</v>
      </c>
    </row>
    <row r="9" customFormat="false" ht="15" hidden="false" customHeight="false" outlineLevel="0" collapsed="false">
      <c r="A9" s="4" t="n">
        <v>5</v>
      </c>
      <c r="B9" s="5" t="s">
        <v>135</v>
      </c>
      <c r="C9" s="6" t="s">
        <v>127</v>
      </c>
      <c r="D9" s="5" t="s">
        <v>136</v>
      </c>
    </row>
    <row r="10" customFormat="false" ht="15" hidden="false" customHeight="false" outlineLevel="0" collapsed="false">
      <c r="A10" s="4" t="n">
        <v>6</v>
      </c>
      <c r="B10" s="5" t="s">
        <v>137</v>
      </c>
      <c r="C10" s="6" t="s">
        <v>127</v>
      </c>
      <c r="D10" s="5" t="s">
        <v>138</v>
      </c>
    </row>
    <row r="11" customFormat="false" ht="15" hidden="false" customHeight="false" outlineLevel="0" collapsed="false">
      <c r="A11" s="4" t="n">
        <v>7</v>
      </c>
      <c r="B11" s="5" t="s">
        <v>139</v>
      </c>
      <c r="C11" s="6" t="s">
        <v>127</v>
      </c>
      <c r="D11" s="5" t="s">
        <v>140</v>
      </c>
    </row>
    <row r="12" customFormat="false" ht="15" hidden="false" customHeight="false" outlineLevel="0" collapsed="false">
      <c r="A12" s="4" t="n">
        <v>8</v>
      </c>
      <c r="B12" s="5" t="s">
        <v>141</v>
      </c>
      <c r="C12" s="6" t="s">
        <v>127</v>
      </c>
      <c r="D12" s="5" t="s">
        <v>142</v>
      </c>
    </row>
    <row r="13" customFormat="false" ht="15" hidden="false" customHeight="false" outlineLevel="0" collapsed="false">
      <c r="A13" s="4" t="n">
        <v>9</v>
      </c>
      <c r="B13" s="5" t="s">
        <v>143</v>
      </c>
      <c r="C13" s="6" t="s">
        <v>127</v>
      </c>
      <c r="D13" s="5" t="s">
        <v>144</v>
      </c>
    </row>
    <row r="14" customFormat="false" ht="15" hidden="false" customHeight="false" outlineLevel="0" collapsed="false">
      <c r="A14" s="4" t="n">
        <v>10</v>
      </c>
      <c r="B14" s="5" t="s">
        <v>145</v>
      </c>
      <c r="C14" s="6" t="s">
        <v>127</v>
      </c>
      <c r="D14" s="5" t="s">
        <v>146</v>
      </c>
    </row>
    <row r="15" customFormat="false" ht="15" hidden="false" customHeight="false" outlineLevel="0" collapsed="false">
      <c r="A15" s="4" t="n">
        <v>11</v>
      </c>
      <c r="B15" s="5" t="s">
        <v>147</v>
      </c>
      <c r="C15" s="6" t="s">
        <v>127</v>
      </c>
      <c r="D15" s="5" t="s">
        <v>148</v>
      </c>
    </row>
    <row r="16" customFormat="false" ht="23.85" hidden="false" customHeight="false" outlineLevel="0" collapsed="false">
      <c r="A16" s="4" t="n">
        <v>12</v>
      </c>
      <c r="B16" s="5" t="s">
        <v>149</v>
      </c>
      <c r="C16" s="6" t="s">
        <v>127</v>
      </c>
      <c r="D16" s="5" t="s">
        <v>150</v>
      </c>
    </row>
    <row r="17" customFormat="false" ht="15" hidden="false" customHeight="false" outlineLevel="0" collapsed="false">
      <c r="A17" s="4" t="n">
        <v>13</v>
      </c>
      <c r="B17" s="5" t="s">
        <v>151</v>
      </c>
      <c r="C17" s="6" t="s">
        <v>127</v>
      </c>
      <c r="D17" s="5" t="s">
        <v>152</v>
      </c>
    </row>
    <row r="18" customFormat="false" ht="15" hidden="false" customHeight="false" outlineLevel="0" collapsed="false">
      <c r="A18" s="4" t="n">
        <v>14</v>
      </c>
      <c r="B18" s="5" t="s">
        <v>153</v>
      </c>
      <c r="C18" s="6" t="s">
        <v>127</v>
      </c>
      <c r="D18" s="5" t="s">
        <v>154</v>
      </c>
    </row>
    <row r="19" customFormat="false" ht="15" hidden="false" customHeight="false" outlineLevel="0" collapsed="false">
      <c r="A19" s="4" t="n">
        <v>15</v>
      </c>
      <c r="B19" s="5" t="s">
        <v>155</v>
      </c>
      <c r="C19" s="6" t="s">
        <v>127</v>
      </c>
      <c r="D19" s="5" t="s">
        <v>156</v>
      </c>
    </row>
    <row r="20" customFormat="false" ht="15" hidden="false" customHeight="false" outlineLevel="0" collapsed="false">
      <c r="A20" s="4" t="n">
        <v>16</v>
      </c>
      <c r="B20" s="5" t="s">
        <v>157</v>
      </c>
      <c r="C20" s="6" t="s">
        <v>127</v>
      </c>
      <c r="D20" s="5" t="s">
        <v>158</v>
      </c>
    </row>
    <row r="21" customFormat="false" ht="15" hidden="false" customHeight="false" outlineLevel="0" collapsed="false">
      <c r="A21" s="4" t="n">
        <v>17</v>
      </c>
      <c r="B21" s="5" t="s">
        <v>159</v>
      </c>
      <c r="C21" s="6" t="s">
        <v>127</v>
      </c>
      <c r="D21" s="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2026-08-07T08:39:32Z</dcterms:created>
  <dc:creator>openpyxl</dc:creator>
  <dc:description/>
  <dc:language>en-GB</dc:language>
  <cp:lastModifiedBy/>
  <dcterms:modified xsi:type="dcterms:W3CDTF">2026-08-07T08:39:32Z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